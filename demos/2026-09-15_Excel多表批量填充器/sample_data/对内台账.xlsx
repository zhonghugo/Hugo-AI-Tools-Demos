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台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4" fontId="2" fillId="3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4" customWidth="1" min="4" max="4"/>
    <col width="16" customWidth="1" min="5" max="5"/>
    <col width="12" customWidth="1" min="6" max="6"/>
    <col width="10" customWidth="1" min="7" max="7"/>
  </cols>
  <sheetData>
    <row r="1">
      <c r="A1" s="1" t="inlineStr">
        <is>
          <t>合同编号</t>
        </is>
      </c>
      <c r="B1" s="1" t="inlineStr">
        <is>
          <t>项目名称</t>
        </is>
      </c>
      <c r="C1" s="1" t="inlineStr">
        <is>
          <t>供应商</t>
        </is>
      </c>
      <c r="D1" s="1" t="inlineStr">
        <is>
          <t>合同金额</t>
        </is>
      </c>
      <c r="E1" s="1" t="inlineStr">
        <is>
          <t>含税金额(13%)</t>
        </is>
      </c>
      <c r="F1" s="1" t="inlineStr">
        <is>
          <t>签订日期</t>
        </is>
      </c>
      <c r="G1" s="1" t="inlineStr">
        <is>
          <t>负责人</t>
        </is>
      </c>
      <c r="I1" t="inlineStr">
        <is>
          <t>填表人：张会计</t>
        </is>
      </c>
    </row>
    <row r="2">
      <c r="A2" s="2" t="inlineStr">
        <is>
          <t>HT-2026-001</t>
        </is>
      </c>
      <c r="B2" s="2" t="inlineStr">
        <is>
          <t>A厂区消防改造工程</t>
        </is>
      </c>
      <c r="C2" s="2" t="inlineStr">
        <is>
          <t>中安消防工程有限公司</t>
        </is>
      </c>
      <c r="D2" s="2" t="n">
        <v>1860000</v>
      </c>
      <c r="E2" s="3">
        <f>D2*1.13</f>
        <v/>
      </c>
      <c r="F2" s="7" t="n">
        <v>46093</v>
      </c>
      <c r="G2" s="2" t="inlineStr">
        <is>
          <t>王强</t>
        </is>
      </c>
      <c r="I2" t="inlineStr">
        <is>
          <t>填表日期：2026-09-15</t>
        </is>
      </c>
    </row>
    <row r="3">
      <c r="A3" s="2" t="inlineStr">
        <is>
          <t>HT-2026-002</t>
        </is>
      </c>
      <c r="B3" s="2" t="inlineStr">
        <is>
          <t>B楼智能化弱电项目</t>
        </is>
      </c>
      <c r="C3" s="2" t="inlineStr">
        <is>
          <t>华讯智能科技</t>
        </is>
      </c>
      <c r="D3" s="2" t="n">
        <v>932000</v>
      </c>
      <c r="E3" s="3">
        <f>D3*1.13</f>
        <v/>
      </c>
      <c r="F3" s="7" t="n">
        <v>46114</v>
      </c>
      <c r="G3" s="2" t="inlineStr">
        <is>
          <t>李敏</t>
        </is>
      </c>
    </row>
    <row r="4">
      <c r="A4" s="2" t="inlineStr">
        <is>
          <t>HT-2026-003</t>
        </is>
      </c>
      <c r="B4" s="2" t="inlineStr">
        <is>
          <t>C园区绿化养护服务</t>
        </is>
      </c>
      <c r="C4" s="2" t="inlineStr">
        <is>
          <t>绿洲园林</t>
        </is>
      </c>
      <c r="D4" s="2" t="n">
        <v>458000</v>
      </c>
      <c r="E4" s="3">
        <f>D4*1.13</f>
        <v/>
      </c>
      <c r="F4" s="7" t="n">
        <v>46130</v>
      </c>
      <c r="G4" s="2" t="inlineStr">
        <is>
          <t>赵磊</t>
        </is>
      </c>
    </row>
    <row r="5">
      <c r="A5" s="2" t="inlineStr">
        <is>
          <t>HT-2026-004</t>
        </is>
      </c>
      <c r="B5" s="2" t="inlineStr">
        <is>
          <t>D数据中心UPS电源采购</t>
        </is>
      </c>
      <c r="C5" s="2" t="inlineStr">
        <is>
          <t>恒动电力设备</t>
        </is>
      </c>
      <c r="D5" s="2" t="n">
        <v>2740000</v>
      </c>
      <c r="E5" s="3">
        <f>D5*1.13</f>
        <v/>
      </c>
      <c r="F5" s="7" t="n">
        <v>46148</v>
      </c>
      <c r="G5" s="2" t="inlineStr">
        <is>
          <t>王强</t>
        </is>
      </c>
    </row>
    <row r="6">
      <c r="A6" s="2" t="inlineStr">
        <is>
          <t>HT-2026-005</t>
        </is>
      </c>
      <c r="B6" s="2" t="inlineStr">
        <is>
          <t>E办公楼中央空调维保</t>
        </is>
      </c>
      <c r="C6" s="2" t="inlineStr">
        <is>
          <t>舒适冷暖工程</t>
        </is>
      </c>
      <c r="D6" s="2" t="n">
        <v>316000</v>
      </c>
      <c r="E6" s="3">
        <f>D6*1.13</f>
        <v/>
      </c>
      <c r="F6" s="7" t="n">
        <v>46162</v>
      </c>
      <c r="G6" s="2" t="inlineStr">
        <is>
          <t>孙悦</t>
        </is>
      </c>
    </row>
    <row r="7">
      <c r="A7" s="2" t="inlineStr">
        <is>
          <t>HT-2026-006</t>
        </is>
      </c>
      <c r="B7" s="2" t="inlineStr">
        <is>
          <t>F园区安防监控改造</t>
        </is>
      </c>
      <c r="C7" s="2" t="inlineStr">
        <is>
          <t>视界安防</t>
        </is>
      </c>
      <c r="D7" s="2" t="n">
        <v>689000</v>
      </c>
      <c r="E7" s="3">
        <f>D7*1.13</f>
        <v/>
      </c>
      <c r="F7" s="7" t="n">
        <v>46188</v>
      </c>
      <c r="G7" s="2" t="inlineStr">
        <is>
          <t>李敏</t>
        </is>
      </c>
    </row>
    <row r="8">
      <c r="A8" s="2" t="inlineStr">
        <is>
          <t>HT-2026-007</t>
        </is>
      </c>
      <c r="B8" s="2" t="inlineStr">
        <is>
          <t>G厂区地面翻新工程</t>
        </is>
      </c>
      <c r="C8" s="2" t="inlineStr">
        <is>
          <t>新基建设</t>
        </is>
      </c>
      <c r="D8" s="2" t="n">
        <v>1280000</v>
      </c>
      <c r="E8" s="3">
        <f>D8*1.13</f>
        <v/>
      </c>
      <c r="F8" s="7" t="n">
        <v>46204</v>
      </c>
      <c r="G8" s="2" t="inlineStr">
        <is>
          <t>赵磊</t>
        </is>
      </c>
    </row>
    <row r="9">
      <c r="A9" s="2" t="inlineStr">
        <is>
          <t>HT-2026-008</t>
        </is>
      </c>
      <c r="B9" s="2" t="inlineStr">
        <is>
          <t>H办公楼电梯维保服务</t>
        </is>
      </c>
      <c r="C9" s="2" t="inlineStr">
        <is>
          <t>迅达电梯服务</t>
        </is>
      </c>
      <c r="D9" s="2" t="n">
        <v>235000</v>
      </c>
      <c r="E9" s="3">
        <f>D9*1.13</f>
        <v/>
      </c>
      <c r="F9" s="7" t="n">
        <v>46225</v>
      </c>
      <c r="G9" s="2" t="inlineStr">
        <is>
          <t>孙悦</t>
        </is>
      </c>
    </row>
    <row r="10">
      <c r="A10" s="2" t="n"/>
      <c r="B10" s="2" t="n"/>
      <c r="C10" s="2" t="n"/>
      <c r="D10" s="2" t="n"/>
      <c r="E10" s="3">
        <f>D10*1.13</f>
        <v/>
      </c>
      <c r="F10" s="2" t="n"/>
      <c r="G10" s="2" t="n"/>
    </row>
    <row r="11">
      <c r="A11" s="2" t="n"/>
      <c r="B11" s="2" t="n"/>
      <c r="C11" s="2" t="n"/>
      <c r="D11" s="2" t="n"/>
      <c r="E11" s="3">
        <f>D11*1.13</f>
        <v/>
      </c>
      <c r="F11" s="2" t="n"/>
      <c r="G11" s="2" t="n"/>
    </row>
    <row r="12">
      <c r="A12" s="2" t="n"/>
      <c r="B12" s="2" t="n"/>
      <c r="C12" s="2" t="n"/>
      <c r="D12" s="2" t="n"/>
      <c r="E12" s="3">
        <f>D12*1.13</f>
        <v/>
      </c>
      <c r="F12" s="2" t="n"/>
      <c r="G12" s="2" t="n"/>
    </row>
    <row r="13">
      <c r="A13" s="2" t="n"/>
      <c r="B13" s="2" t="n"/>
      <c r="C13" s="2" t="n"/>
      <c r="D13" s="2" t="n"/>
      <c r="E13" s="3">
        <f>D13*1.13</f>
        <v/>
      </c>
      <c r="F13" s="2" t="n"/>
      <c r="G13" s="2" t="n"/>
    </row>
    <row r="15">
      <c r="A15" s="4" t="n"/>
      <c r="B15" s="4" t="inlineStr">
        <is>
          <t>合计</t>
        </is>
      </c>
      <c r="C15" s="4" t="n"/>
      <c r="D15" s="5">
        <f>SUM(D2:D14)</f>
        <v/>
      </c>
      <c r="E15" s="6">
        <f>SUM(E2:E14)</f>
        <v/>
      </c>
      <c r="F15" s="4" t="n"/>
      <c r="G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2026-09-15T03:40:23Z</dcterms:created>
  <dcterms:modified xmlns:dcterms="http://purl.org/dc/terms/" xmlns:xsi="http://www.w3.org/2001/XMLSchema-instance" xsi:type="dcterms:W3CDTF">2026-09-15T03:40:25Z</dcterms:modified>
</cp:coreProperties>
</file>